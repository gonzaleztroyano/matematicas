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Unidades compartidas\🧑‍🎓 - CGIS - URJC\CGIS.MCS - Matemáticas para la Computación y Servicios\CGIS.MCS.T5-Algebra1\t5-algebra\"/>
    </mc:Choice>
  </mc:AlternateContent>
  <xr:revisionPtr revIDLastSave="0" documentId="13_ncr:1_{AA751084-4F8E-4277-B2EC-A6A957FE15DC}" xr6:coauthVersionLast="47" xr6:coauthVersionMax="47" xr10:uidLastSave="{00000000-0000-0000-0000-000000000000}"/>
  <bookViews>
    <workbookView xWindow="-120" yWindow="-120" windowWidth="29040" windowHeight="15720" xr2:uid="{693CD489-6155-4A70-A872-8D43F1EA45C3}"/>
  </bookViews>
  <sheets>
    <sheet name="Práctica 3.1" sheetId="1" r:id="rId1"/>
    <sheet name="Práctica 3.2" sheetId="2" r:id="rId2"/>
    <sheet name="Práctica 3.3" sheetId="3" r:id="rId3"/>
  </sheets>
  <definedNames>
    <definedName name="solver_adj" localSheetId="2" hidden="1">'Práctica 3.3'!$D$7:$H$7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'Práctica 3.3'!$D$7:$H$7</definedName>
    <definedName name="solver_lhs2" localSheetId="2" hidden="1">'Práctica 3.3'!$D$7:$H$7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'Práctica 3.3'!$I$7</definedName>
    <definedName name="solver_pre" localSheetId="2" hidden="1">0.000001</definedName>
    <definedName name="solver_rbv" localSheetId="2" hidden="1">1</definedName>
    <definedName name="solver_rel1" localSheetId="2" hidden="1">6</definedName>
    <definedName name="solver_rel2" localSheetId="2" hidden="1">4</definedName>
    <definedName name="solver_rhs1" localSheetId="2" hidden="1">"AllDifferent"</definedName>
    <definedName name="solver_rhs2" localSheetId="2" hidden="1">"integer"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6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 a="1"/>
  <c r="D22" i="3" s="1"/>
  <c r="L22" i="3" s="1" a="1"/>
  <c r="L22" i="3" s="1"/>
  <c r="E10" i="3"/>
  <c r="F10" i="3"/>
  <c r="G10" i="3"/>
  <c r="H10" i="3"/>
  <c r="I7" i="3"/>
  <c r="D10" i="3"/>
  <c r="D8" i="2"/>
  <c r="E8" i="2"/>
  <c r="F8" i="2"/>
  <c r="G8" i="2"/>
  <c r="H8" i="2"/>
  <c r="D9" i="2"/>
  <c r="E9" i="2"/>
  <c r="F9" i="2"/>
  <c r="G9" i="2"/>
  <c r="H9" i="2"/>
  <c r="D10" i="2"/>
  <c r="E10" i="2"/>
  <c r="F10" i="2"/>
  <c r="G10" i="2"/>
  <c r="H10" i="2"/>
  <c r="D11" i="2"/>
  <c r="E11" i="2"/>
  <c r="F11" i="2"/>
  <c r="G11" i="2"/>
  <c r="H11" i="2"/>
  <c r="E7" i="2"/>
  <c r="F7" i="2"/>
  <c r="G7" i="2"/>
  <c r="H7" i="2"/>
  <c r="D7" i="2"/>
  <c r="D8" i="1"/>
  <c r="E8" i="1"/>
  <c r="F8" i="1"/>
  <c r="G8" i="1"/>
  <c r="H8" i="1"/>
  <c r="D9" i="1"/>
  <c r="E9" i="1"/>
  <c r="F9" i="1"/>
  <c r="G9" i="1"/>
  <c r="H9" i="1"/>
  <c r="D10" i="1"/>
  <c r="E10" i="1"/>
  <c r="F10" i="1"/>
  <c r="G10" i="1"/>
  <c r="H10" i="1"/>
  <c r="D11" i="1"/>
  <c r="E11" i="1"/>
  <c r="F11" i="1"/>
  <c r="G11" i="1"/>
  <c r="H11" i="1"/>
  <c r="E7" i="1"/>
  <c r="F7" i="1"/>
  <c r="G7" i="1"/>
  <c r="H7" i="1"/>
  <c r="D7" i="1"/>
  <c r="I10" i="3" l="1"/>
  <c r="D24" i="2" a="1"/>
  <c r="D24" i="2" s="1"/>
  <c r="D15" i="2" a="1"/>
  <c r="D15" i="2" s="1"/>
  <c r="J8" i="2"/>
  <c r="K8" i="1"/>
  <c r="D32" i="2" l="1" a="1"/>
  <c r="D3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<sst xmlns="http://schemas.openxmlformats.org/spreadsheetml/2006/main" count="39" uniqueCount="26">
  <si>
    <t>Matriz generada</t>
  </si>
  <si>
    <t>Determinante</t>
  </si>
  <si>
    <t>Matriz pre-calculada</t>
  </si>
  <si>
    <t>Matriz inversa</t>
  </si>
  <si>
    <t>A =</t>
  </si>
  <si>
    <r>
      <t xml:space="preserve">A </t>
    </r>
    <r>
      <rPr>
        <i/>
        <vertAlign val="superscript"/>
        <sz val="12"/>
        <color theme="1"/>
        <rFont val="Calibri"/>
        <family val="2"/>
        <scheme val="minor"/>
      </rPr>
      <t xml:space="preserve">-1 </t>
    </r>
    <r>
      <rPr>
        <i/>
        <sz val="12"/>
        <color theme="1"/>
        <rFont val="Calibri"/>
        <family val="2"/>
        <scheme val="minor"/>
      </rPr>
      <t>=</t>
    </r>
  </si>
  <si>
    <r>
      <t xml:space="preserve">AA </t>
    </r>
    <r>
      <rPr>
        <i/>
        <vertAlign val="superscript"/>
        <sz val="12"/>
        <color theme="1"/>
        <rFont val="Calibri"/>
        <family val="2"/>
        <scheme val="minor"/>
      </rPr>
      <t xml:space="preserve">-1 </t>
    </r>
    <r>
      <rPr>
        <i/>
        <sz val="12"/>
        <color theme="1"/>
        <rFont val="Calibri"/>
        <family val="2"/>
        <scheme val="minor"/>
      </rPr>
      <t>=</t>
    </r>
  </si>
  <si>
    <r>
      <t>A</t>
    </r>
    <r>
      <rPr>
        <i/>
        <vertAlign val="superscript"/>
        <sz val="12"/>
        <color theme="1"/>
        <rFont val="Calibri"/>
        <family val="2"/>
        <scheme val="minor"/>
      </rPr>
      <t xml:space="preserve">t </t>
    </r>
    <r>
      <rPr>
        <i/>
        <sz val="12"/>
        <color theme="1"/>
        <rFont val="Calibri"/>
        <family val="2"/>
        <scheme val="minor"/>
      </rPr>
      <t>=</t>
    </r>
  </si>
  <si>
    <t>(Recalcula la hoja de veces para mostrar que la Diagonal principal siempre está formada por 1)</t>
  </si>
  <si>
    <t>Sistema de ecuaciones</t>
  </si>
  <si>
    <t>E1</t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</si>
  <si>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</si>
  <si>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</si>
  <si>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</si>
  <si>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</si>
  <si>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</si>
  <si>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t>b</t>
  </si>
  <si>
    <t>Sistema:</t>
  </si>
  <si>
    <t>E2</t>
  </si>
  <si>
    <t>E3</t>
  </si>
  <si>
    <t>E4</t>
  </si>
  <si>
    <t>E5</t>
  </si>
  <si>
    <t>RandGen:</t>
  </si>
  <si>
    <t>E1:</t>
  </si>
  <si>
    <r>
      <t>A</t>
    </r>
    <r>
      <rPr>
        <i/>
        <vertAlign val="superscript"/>
        <sz val="14"/>
        <color theme="1"/>
        <rFont val="Calibri"/>
        <family val="2"/>
        <scheme val="minor"/>
      </rPr>
      <t>-1</t>
    </r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</si>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</sst>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perscript"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vertAlign val="superscript"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5" xfId="0" applyBorder="1"/>
    <xf numFmtId="0" fontId="5" fillId="0" borderId="0" xfId="0" applyFont="1"/>
    <xf numFmtId="0" fontId="7" fillId="0" borderId="0" xfId="0" applyFont="1" applyAlignment="1">
      <alignment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164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3" fillId="4" borderId="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2" fontId="7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85725</xdr:rowOff>
        </xdr:from>
        <xdr:to>
          <xdr:col>12</xdr:col>
          <xdr:colOff>304800</xdr:colOff>
          <xdr:row>10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¡Calcular!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400050</xdr:colOff>
      <xdr:row>2</xdr:row>
      <xdr:rowOff>47625</xdr:rowOff>
    </xdr:from>
    <xdr:to>
      <xdr:col>27</xdr:col>
      <xdr:colOff>10492</xdr:colOff>
      <xdr:row>13</xdr:row>
      <xdr:rowOff>95592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10550" y="428625"/>
          <a:ext cx="6925642" cy="244826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31</xdr:row>
          <xdr:rowOff>19050</xdr:rowOff>
        </xdr:from>
        <xdr:to>
          <xdr:col>13</xdr:col>
          <xdr:colOff>9525</xdr:colOff>
          <xdr:row>33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Ejemplificar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526677</xdr:colOff>
      <xdr:row>12</xdr:row>
      <xdr:rowOff>33618</xdr:rowOff>
    </xdr:from>
    <xdr:to>
      <xdr:col>18</xdr:col>
      <xdr:colOff>602697</xdr:colOff>
      <xdr:row>23</xdr:row>
      <xdr:rowOff>11205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7618" y="2610971"/>
          <a:ext cx="6250461" cy="23868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487990</xdr:colOff>
      <xdr:row>2</xdr:row>
      <xdr:rowOff>2802</xdr:rowOff>
    </xdr:from>
    <xdr:to>
      <xdr:col>20</xdr:col>
      <xdr:colOff>443957</xdr:colOff>
      <xdr:row>25</xdr:row>
      <xdr:rowOff>41143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3549" y="383802"/>
          <a:ext cx="4796908" cy="5036165"/>
        </a:xfrm>
        <a:prstGeom prst="rect">
          <a:avLst/>
        </a:prstGeom>
      </xdr:spPr>
    </xdr:pic>
    <xdr:clientData/>
  </xdr:twoCellAnchor>
  <xdr:oneCellAnchor>
    <xdr:from>
      <xdr:col>0</xdr:col>
      <xdr:colOff>99171</xdr:colOff>
      <xdr:row>29</xdr:row>
      <xdr:rowOff>87125</xdr:rowOff>
    </xdr:from>
    <xdr:ext cx="2455769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99171" y="6261566"/>
              <a:ext cx="2455769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0" i="1">
                        <a:latin typeface="Cambria Math" panose="02040503050406030204" pitchFamily="18" charset="0"/>
                      </a:rPr>
                      <m:t>𝐴𝑥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 ⇒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</m:e>
                      <m:sup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s-ES" sz="16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88FC225-1448-BAF4-B4B6-6DD44170A3EE}"/>
                </a:ext>
              </a:extLst>
            </xdr:cNvPr>
            <xdr:cNvSpPr txBox="1"/>
          </xdr:nvSpPr>
          <xdr:spPr>
            <a:xfrm>
              <a:off x="99171" y="6261566"/>
              <a:ext cx="2455769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𝐴𝑥=𝑏 </a:t>
              </a:r>
              <a:r>
                <a:rPr lang="es-E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⇒𝑧= 𝐴^(−1) 𝑏</a:t>
              </a:r>
              <a:endParaRPr lang="es-ES" sz="16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352423</xdr:colOff>
      <xdr:row>27</xdr:row>
      <xdr:rowOff>95250</xdr:rowOff>
    </xdr:from>
    <xdr:ext cx="2807635" cy="12606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2548776" y="5888691"/>
              <a:ext cx="2807635" cy="12606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{"/>
                        <m:endChr m:val=""/>
                        <m:ctrlPr>
                          <a:rPr lang="es-ES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ES" sz="140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s-ES" sz="14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es-ES" sz="1400" b="0" i="1">
                                  <a:latin typeface="Cambria Math" panose="02040503050406030204" pitchFamily="18" charset="0"/>
                                </a:rPr>
                                <m:t>+</m:t>
                              </m:r>
                              <m:r>
                                <a:rPr lang="es-ES" sz="14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sSub>
                                <m:sSubPr>
                                  <m:ctrlP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  <m: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es-ES" sz="14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 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5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=6</m:t>
                              </m:r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−3</m:t>
                                  </m:r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5</m:t>
                                  </m:r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5</m:t>
                                  </m:r>
                                </m:sub>
                              </m:sSub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=8</m:t>
                              </m:r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es-ES" sz="14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−2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m:rPr>
                                        <m:brk m:alnAt="7"/>
                                      </m:rP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sSub>
                                      <m:sSubPr>
                                        <m:ctrlP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=−1</m:t>
                                    </m:r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+5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=1</m:t>
                                    </m:r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−3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7</m:t>
                                        </m:r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</m:t>
                                        </m:r>
                                      </m:sub>
                                    </m:sSub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=5</m:t>
                                    </m:r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</m:oMath>
                </m:oMathPara>
              </a14:m>
              <a:endParaRPr lang="es-E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C70C8E-C415-17EC-9F58-533D1F4E8CC9}"/>
                </a:ext>
              </a:extLst>
            </xdr:cNvPr>
            <xdr:cNvSpPr txBox="1"/>
          </xdr:nvSpPr>
          <xdr:spPr>
            <a:xfrm>
              <a:off x="2548776" y="5888691"/>
              <a:ext cx="2807635" cy="12606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ES" sz="1400" i="0">
                  <a:latin typeface="Cambria Math" panose="02040503050406030204" pitchFamily="18" charset="0"/>
                </a:rPr>
                <a:t>{■8(</a:t>
              </a:r>
              <a:r>
                <a:rPr lang="es-ES" sz="1400" b="0" i="0">
                  <a:latin typeface="Cambria Math" panose="02040503050406030204" pitchFamily="18" charset="0"/>
                </a:rPr>
                <a:t>𝑥_1+ 〖2𝑥〗_2−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3+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4− 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5=6@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−3𝑥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〗_1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𝑥〗_2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𝑥_3+〖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𝑥〗_5=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8@■8(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−2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𝑥〗_1+ 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𝑥〗_2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𝑥〗_4−〖3𝑥〗_5=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𝑥〗_1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𝑥〗_2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𝑥〗_3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+5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𝑥_4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𝑥〗_5=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〖−3𝑥〗_1−〖1𝑥〗_2+𝑥_3−𝑥_4+〖7𝑥〗_5=5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))┤</a:t>
              </a:r>
              <a:endParaRPr lang="es-ES" sz="1400"/>
            </a:p>
          </xdr:txBody>
        </xdr:sp>
      </mc:Fallback>
    </mc:AlternateContent>
    <xdr:clientData/>
  </xdr:oneCellAnchor>
  <xdr:oneCellAnchor>
    <xdr:from>
      <xdr:col>13</xdr:col>
      <xdr:colOff>7843</xdr:colOff>
      <xdr:row>27</xdr:row>
      <xdr:rowOff>147636</xdr:rowOff>
    </xdr:from>
    <xdr:ext cx="3320305" cy="10239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5868519" y="5941077"/>
              <a:ext cx="3320305" cy="1023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ES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ES" sz="140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eqArr>
                              <m:eqArrPr>
                                <m:ctrlPr>
                                  <a:rPr lang="es-ES" sz="1400" i="1">
                                    <a:latin typeface="Cambria Math" panose="02040503050406030204" pitchFamily="18" charset="0"/>
                                  </a:rPr>
                                </m:ctrlPr>
                              </m:eqArrPr>
                              <m:e>
                                <m:m>
                                  <m:mPr>
                                    <m:mcs>
                                      <m:mc>
                                        <m:mcPr>
                                          <m:count m:val="3"/>
                                          <m:mcJc m:val="center"/>
                                        </m:mcPr>
                                      </m:mc>
                                    </m:mcs>
                                    <m:ctrlPr>
                                      <a:rPr lang="es-ES" sz="1400" i="1">
                                        <a:latin typeface="Cambria Math" panose="02040503050406030204" pitchFamily="18" charset="0"/>
                                      </a:rPr>
                                    </m:ctrlPr>
                                  </m:mPr>
                                  <m:mr>
                                    <m:e>
                                      <m:r>
                                        <m:rPr>
                                          <m:brk m:alnAt="7"/>
                                        </m:rPr>
                                        <a:rPr lang="es-ES" sz="1400" b="0" i="1">
                                          <a:latin typeface="Cambria Math" panose="02040503050406030204" pitchFamily="18" charset="0"/>
                                        </a:rPr>
                                        <m:t>1</m:t>
                                      </m:r>
                                    </m:e>
                                    <m:e>
                                      <m:r>
                                        <a:rPr lang="es-ES" sz="14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e>
                                    <m:e>
                                      <m:m>
                                        <m:mPr>
                                          <m:mcs>
                                            <m:mc>
                                              <m:mcPr>
                                                <m:count m:val="3"/>
                                                <m:mcJc m:val="center"/>
                                              </m:mcPr>
                                            </m:mc>
                                          </m:mcs>
                                          <m:ctrlPr>
                                            <a:rPr lang="es-ES" sz="14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mPr>
                                        <m:mr>
                                          <m:e>
                                            <m:r>
                                              <m:rPr>
                                                <m:brk m:alnAt="7"/>
                                              </m:rP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−</m:t>
                                            </m:r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1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1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−3</m:t>
                                            </m:r>
                                          </m:e>
                                        </m:mr>
                                      </m:m>
                                    </m:e>
                                  </m:mr>
                                </m:m>
                              </m:e>
                              <m:e>
                                <m:m>
                                  <m:mPr>
                                    <m:mcs>
                                      <m:mc>
                                        <m:mcPr>
                                          <m:count m:val="3"/>
                                          <m:mcJc m:val="center"/>
                                        </m:mcPr>
                                      </m:mc>
                                    </m:mcs>
                                    <m:ctrlPr>
                                      <a:rPr lang="es-ES" sz="1400" i="1">
                                        <a:latin typeface="Cambria Math" panose="02040503050406030204" pitchFamily="18" charset="0"/>
                                      </a:rPr>
                                    </m:ctrlPr>
                                  </m:mPr>
                                  <m:mr>
                                    <m:e>
                                      <m:r>
                                        <m:rPr>
                                          <m:brk m:alnAt="7"/>
                                        </m:rPr>
                                        <a:rPr lang="es-ES" sz="14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r>
                                        <a:rPr lang="es-ES" sz="1400" b="0" i="1">
                                          <a:latin typeface="Cambria Math" panose="02040503050406030204" pitchFamily="18" charset="0"/>
                                        </a:rPr>
                                        <m:t>3  </m:t>
                                      </m:r>
                                    </m:e>
                                    <m:e>
                                      <m:r>
                                        <a:rPr lang="es-ES" sz="1400" b="0" i="1">
                                          <a:latin typeface="Cambria Math" panose="02040503050406030204" pitchFamily="18" charset="0"/>
                                        </a:rPr>
                                        <m:t>4 </m:t>
                                      </m:r>
                                    </m:e>
                                    <m:e>
                                      <m:m>
                                        <m:mPr>
                                          <m:mcs>
                                            <m:mc>
                                              <m:mcPr>
                                                <m:count m:val="3"/>
                                                <m:mcJc m:val="center"/>
                                              </m:mcPr>
                                            </m:mc>
                                          </m:mcs>
                                          <m:ctrlPr>
                                            <a:rPr lang="es-ES" sz="14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mPr>
                                        <m:mr>
                                          <m:e>
                                            <m:r>
                                              <m:rPr>
                                                <m:brk m:alnAt="7"/>
                                              </m:rP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1</m:t>
                                            </m:r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   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5 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latin typeface="Cambria Math" panose="02040503050406030204" pitchFamily="18" charset="0"/>
                                              </a:rPr>
                                              <m:t>4</m:t>
                                            </m:r>
                                          </m:e>
                                        </m:mr>
                                      </m:m>
                                    </m:e>
                                  </m:mr>
                                </m:m>
                              </m:e>
                              <m:e>
                                <m:m>
                                  <m:mPr>
                                    <m:mcs>
                                      <m:mc>
                                        <m:mcPr>
                                          <m:count m:val="3"/>
                                          <m:mcJc m:val="center"/>
                                        </m:mcPr>
                                      </m:mc>
                                    </m:mcs>
                                    <m:ctrlPr>
                                      <a:rPr lang="es-ES" sz="1400" i="1">
                                        <a:effectLst/>
                                        <a:latin typeface="Cambria Math" panose="02040503050406030204" pitchFamily="18" charset="0"/>
                                      </a:rPr>
                                    </m:ctrlPr>
                                  </m:mPr>
                                  <m:mr>
                                    <m:e>
                                      <m:r>
                                        <m:rPr>
                                          <m:brk m:alnAt="7"/>
                                        </m:rPr>
                                        <a:rPr lang="es-ES" sz="1400" b="0" i="1">
                                          <a:effectLst/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r>
                                        <a:rPr lang="es-ES" sz="1400" b="0" i="1">
                                          <a:effectLst/>
                                          <a:latin typeface="Cambria Math" panose="02040503050406030204" pitchFamily="18" charset="0"/>
                                        </a:rPr>
                                        <m:t>2  </m:t>
                                      </m:r>
                                    </m:e>
                                    <m:e>
                                      <m:r>
                                        <a:rPr lang="es-ES" sz="1400" b="0" i="1">
                                          <a:effectLst/>
                                          <a:latin typeface="Cambria Math" panose="02040503050406030204" pitchFamily="18" charset="0"/>
                                        </a:rPr>
                                        <m:t>3  </m:t>
                                      </m:r>
                                    </m:e>
                                    <m:e>
                                      <m:m>
                                        <m:mPr>
                                          <m:mcs>
                                            <m:mc>
                                              <m:mcPr>
                                                <m:count m:val="3"/>
                                                <m:mcJc m:val="center"/>
                                              </m:mcPr>
                                            </m:mc>
                                          </m:mcs>
                                          <m:ctrlPr>
                                            <a:rPr lang="es-ES" sz="1400" i="1">
                                              <a:effectLst/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mPr>
                                        <m:mr>
                                          <m:e>
                                            <m:r>
                                              <m:rPr>
                                                <m:brk m:alnAt="7"/>
                                              </m:rPr>
                                              <a:rPr lang="es-ES" sz="1400" b="0" i="1">
                                                <a:effectLst/>
                                                <a:latin typeface="Cambria Math" panose="02040503050406030204" pitchFamily="18" charset="0"/>
                                              </a:rPr>
                                              <m:t>1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effectLst/>
                                                <a:latin typeface="Cambria Math" panose="02040503050406030204" pitchFamily="18" charset="0"/>
                                              </a:rPr>
                                              <m:t>  5</m:t>
                                            </m:r>
                                          </m:e>
                                          <m:e>
                                            <m:r>
                                              <a:rPr lang="es-ES" sz="1400" b="0" i="1">
                                                <a:effectLst/>
                                                <a:latin typeface="Cambria Math" panose="02040503050406030204" pitchFamily="18" charset="0"/>
                                              </a:rPr>
                                              <m:t> 4</m:t>
                                            </m:r>
                                          </m:e>
                                        </m:mr>
                                      </m:m>
                                    </m:e>
                                  </m:mr>
                                </m:m>
                              </m:e>
                            </m:eqArr>
                          </m:e>
                          <m:e>
                            <m:m>
                              <m:mPr>
                                <m:mcs>
                                  <m:mc>
                                    <m:mcPr>
                                      <m:count m:val="3"/>
                                      <m:mcJc m:val="center"/>
                                    </m:mcPr>
                                  </m:mc>
                                </m:mcs>
                                <m:ctrlPr>
                                  <a:rPr lang="es-ES" sz="1400" i="1">
                                    <a:effectLst/>
                                    <a:latin typeface="Cambria Math" panose="02040503050406030204" pitchFamily="18" charset="0"/>
                                  </a:rPr>
                                </m:ctrlPr>
                              </m:mPr>
                              <m:mr>
                                <m:e>
                                  <m:r>
                                    <m:rPr>
                                      <m:brk m:alnAt="7"/>
                                    </m:rP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4</m:t>
                                  </m:r>
                                </m:e>
                                <m:e>
                                  <m: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 −4</m:t>
                                  </m:r>
                                </m:e>
                                <m:e>
                                  <m: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 </m:t>
                                  </m:r>
                                  <m:m>
                                    <m:mPr>
                                      <m:mcs>
                                        <m:mc>
                                          <m:mcPr>
                                            <m:count m:val="3"/>
                                            <m:mcJc m:val="center"/>
                                          </m:mcPr>
                                        </m:mc>
                                      </m:mcs>
                                      <m:ctrlPr>
                                        <a:rPr lang="es-ES" sz="1400" i="1">
                                          <a:effectLst/>
                                          <a:latin typeface="Cambria Math" panose="02040503050406030204" pitchFamily="18" charset="0"/>
                                        </a:rPr>
                                      </m:ctrlPr>
                                    </m:mPr>
                                    <m:mr>
                                      <m:e>
                                        <m:r>
                                          <m:rPr>
                                            <m:brk m:alnAt="7"/>
                                          </m:rP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−</m:t>
                                        </m:r>
                                        <m: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4</m:t>
                                        </m:r>
                                      </m:e>
                                      <m:e>
                                        <m: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5</m:t>
                                        </m:r>
                                      </m:e>
                                      <m:e>
                                        <m: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 5</m:t>
                                        </m:r>
                                      </m:e>
                                    </m:mr>
                                  </m:m>
                                </m:e>
                              </m:mr>
                            </m:m>
                          </m:e>
                          <m:e>
                            <m:m>
                              <m:mPr>
                                <m:mcs>
                                  <m:mc>
                                    <m:mcPr>
                                      <m:count m:val="3"/>
                                      <m:mcJc m:val="center"/>
                                    </m:mcPr>
                                  </m:mc>
                                </m:mcs>
                                <m:ctrlPr>
                                  <a:rPr lang="es-ES" sz="1400" i="1">
                                    <a:effectLst/>
                                    <a:latin typeface="Cambria Math" panose="02040503050406030204" pitchFamily="18" charset="0"/>
                                  </a:rPr>
                                </m:ctrlPr>
                              </m:mPr>
                              <m:mr>
                                <m:e>
                                  <m:r>
                                    <m:rPr>
                                      <m:brk m:alnAt="7"/>
                                    </m:rP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e>
                                <m:e>
                                  <m:r>
                                    <a:rPr lang="es-ES" sz="1400" b="0" i="1">
                                      <a:effectLst/>
                                      <a:latin typeface="Cambria Math" panose="02040503050406030204" pitchFamily="18" charset="0"/>
                                    </a:rPr>
                                    <m:t>−1</m:t>
                                  </m:r>
                                </m:e>
                                <m:e>
                                  <m:m>
                                    <m:mPr>
                                      <m:mcs>
                                        <m:mc>
                                          <m:mcPr>
                                            <m:count m:val="3"/>
                                            <m:mcJc m:val="center"/>
                                          </m:mcPr>
                                        </m:mc>
                                      </m:mcs>
                                      <m:ctrlPr>
                                        <a:rPr lang="es-ES" sz="1400" i="1">
                                          <a:effectLst/>
                                          <a:latin typeface="Cambria Math" panose="02040503050406030204" pitchFamily="18" charset="0"/>
                                        </a:rPr>
                                      </m:ctrlPr>
                                    </m:mPr>
                                    <m:mr>
                                      <m:e>
                                        <m:r>
                                          <m:rPr>
                                            <m:brk m:alnAt="7"/>
                                          </m:rP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e>
                                      <m:e>
                                        <m: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−1</m:t>
                                        </m:r>
                                      </m:e>
                                      <m:e>
                                        <m:r>
                                          <a:rPr lang="es-ES" sz="1400" b="0" i="1">
                                            <a:effectLst/>
                                            <a:latin typeface="Cambria Math" panose="02040503050406030204" pitchFamily="18" charset="0"/>
                                          </a:rPr>
                                          <m:t>7</m:t>
                                        </m:r>
                                      </m:e>
                                    </m:mr>
                                  </m:m>
                                </m:e>
                              </m:mr>
                            </m:m>
                          </m:e>
                        </m:eqArr>
                      </m:e>
                    </m:d>
                    <m:d>
                      <m:dPr>
                        <m:ctrlPr>
                          <a:rPr lang="es-ES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ES" sz="140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s-ES" sz="14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es-ES" sz="14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es-ES" sz="14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E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</m:t>
                                        </m:r>
                                      </m:sub>
                                    </m:sSub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  <m:r>
                      <a:rPr lang="es-ES" sz="1400" b="0" i="1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ctrlPr>
                          <a:rPr lang="es-ES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ES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s-ES" sz="14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e>
                          </m:mr>
                          <m:mr>
                            <m:e>
                              <m:r>
                                <a:rPr lang="es-E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8</m:t>
                              </m:r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es-ES" sz="14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mPr>
                                <m:mr>
                                  <m:e>
                                    <m:r>
                                      <a:rPr lang="es-ES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r>
                                      <a:rPr lang="es-E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e>
                                </m:mr>
                                <m:mr>
                                  <m:e>
                                    <m:r>
                                      <a:rPr lang="es-ES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e>
                                </m:mr>
                                <m:mr>
                                  <m:e>
                                    <m:r>
                                      <a:rPr lang="es-ES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5</m:t>
                                    </m:r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</m:oMath>
                </m:oMathPara>
              </a14:m>
              <a:endParaRPr lang="es-E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9DAF758-FDE6-A775-B266-7067EC1F1D3D}"/>
                </a:ext>
              </a:extLst>
            </xdr:cNvPr>
            <xdr:cNvSpPr txBox="1"/>
          </xdr:nvSpPr>
          <xdr:spPr>
            <a:xfrm>
              <a:off x="5868519" y="5941077"/>
              <a:ext cx="3320305" cy="1023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400" i="0">
                  <a:latin typeface="Cambria Math" panose="02040503050406030204" pitchFamily="18" charset="0"/>
                </a:rPr>
                <a:t>(█(█(■8(</a:t>
              </a:r>
              <a:r>
                <a:rPr lang="es-ES" sz="1400" b="0" i="0">
                  <a:latin typeface="Cambria Math" panose="02040503050406030204" pitchFamily="18" charset="0"/>
                </a:rPr>
                <a:t>1&amp;2&amp;■8(−1&amp;1&amp;−3))@■8(−3  &amp;4 &amp;■8(1   &amp;5 &amp;4))</a:t>
              </a:r>
              <a:r>
                <a:rPr lang="es-ES" sz="1400" b="0" i="0">
                  <a:effectLst/>
                  <a:latin typeface="Cambria Math" panose="02040503050406030204" pitchFamily="18" charset="0"/>
                </a:rPr>
                <a:t>@■8(−2  &amp;3  &amp;■8(1&amp;  5&amp; 4)))@■8(4&amp; −4&amp; ■8(−4&amp;5&amp; 5))@■8(−3&amp;−1&amp;■8(1&amp;−1&amp;7))))</a:t>
              </a:r>
              <a:r>
                <a:rPr lang="es-ES" sz="1400" i="0">
                  <a:latin typeface="Cambria Math" panose="02040503050406030204" pitchFamily="18" charset="0"/>
                </a:rPr>
                <a:t>(■8(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𝑥_1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2@■8(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5 )))</a:t>
              </a:r>
              <a:r>
                <a:rPr lang="es-ES" sz="1400" b="0" i="0">
                  <a:latin typeface="Cambria Math" panose="02040503050406030204" pitchFamily="18" charset="0"/>
                </a:rPr>
                <a:t>= </a:t>
              </a:r>
              <a:r>
                <a:rPr lang="es-E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(■8(</a:t>
              </a:r>
              <a:r>
                <a:rPr lang="es-ES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8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@■8(</a:t>
              </a:r>
              <a:r>
                <a:rPr lang="es-ES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</a:t>
              </a:r>
              <a:r>
                <a:rPr lang="es-ES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</a:t>
              </a:r>
              <a:r>
                <a:rPr lang="es-ES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s-E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)))</a:t>
              </a:r>
              <a:endParaRPr lang="es-E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EAA1-3F9F-4B2D-A77B-3F310312DBEC}">
  <sheetPr codeName="Sheet1"/>
  <dimension ref="B3:O25"/>
  <sheetViews>
    <sheetView tabSelected="1" workbookViewId="0">
      <selection activeCell="K8" sqref="K8:M8"/>
    </sheetView>
  </sheetViews>
  <sheetFormatPr defaultRowHeight="15" x14ac:dyDescent="0.25"/>
  <cols>
    <col min="3" max="8" width="6.5703125" customWidth="1"/>
    <col min="10" max="10" width="4.5703125" customWidth="1"/>
  </cols>
  <sheetData>
    <row r="3" spans="2:15" ht="15" customHeight="1" x14ac:dyDescent="0.25">
      <c r="B3" s="18" t="s">
        <v>0</v>
      </c>
      <c r="C3" s="18"/>
      <c r="D3" s="18"/>
      <c r="E3" s="18"/>
      <c r="F3" s="18"/>
      <c r="G3" s="18"/>
      <c r="H3" s="18"/>
      <c r="I3" s="18"/>
    </row>
    <row r="4" spans="2:15" ht="15" customHeight="1" x14ac:dyDescent="0.25">
      <c r="B4" s="18"/>
      <c r="C4" s="18"/>
      <c r="D4" s="18"/>
      <c r="E4" s="18"/>
      <c r="F4" s="18"/>
      <c r="G4" s="18"/>
      <c r="H4" s="18"/>
      <c r="I4" s="18"/>
    </row>
    <row r="6" spans="2:15" ht="18.75" x14ac:dyDescent="0.25">
      <c r="C6" s="2"/>
      <c r="D6" s="2">
        <v>1</v>
      </c>
      <c r="E6" s="2">
        <v>2</v>
      </c>
      <c r="F6" s="2">
        <v>3</v>
      </c>
      <c r="G6" s="2">
        <v>4</v>
      </c>
      <c r="H6" s="2">
        <v>5</v>
      </c>
      <c r="K6" s="14" t="s">
        <v>1</v>
      </c>
      <c r="L6" s="14"/>
      <c r="M6" s="14"/>
    </row>
    <row r="7" spans="2:15" ht="19.5" thickBot="1" x14ac:dyDescent="0.3">
      <c r="C7" s="2">
        <v>1</v>
      </c>
      <c r="D7" s="1">
        <f ca="1">RANDBETWEEN(-9,9)</f>
        <v>2</v>
      </c>
      <c r="E7" s="1">
        <f t="shared" ref="E7:H11" ca="1" si="0">RANDBETWEEN(-9,9)</f>
        <v>1</v>
      </c>
      <c r="F7" s="1">
        <f t="shared" ca="1" si="0"/>
        <v>-1</v>
      </c>
      <c r="G7" s="1">
        <f t="shared" ca="1" si="0"/>
        <v>7</v>
      </c>
      <c r="H7" s="1">
        <f t="shared" ca="1" si="0"/>
        <v>-5</v>
      </c>
    </row>
    <row r="8" spans="2:15" ht="19.5" thickBot="1" x14ac:dyDescent="0.3">
      <c r="C8" s="2">
        <v>2</v>
      </c>
      <c r="D8" s="1">
        <f t="shared" ref="D8:D11" ca="1" si="1">RANDBETWEEN(-9,9)</f>
        <v>3</v>
      </c>
      <c r="E8" s="1">
        <f t="shared" ca="1" si="0"/>
        <v>-7</v>
      </c>
      <c r="F8" s="1">
        <f t="shared" ca="1" si="0"/>
        <v>-9</v>
      </c>
      <c r="G8" s="1">
        <f t="shared" ca="1" si="0"/>
        <v>-4</v>
      </c>
      <c r="H8" s="1">
        <f t="shared" ca="1" si="0"/>
        <v>7</v>
      </c>
      <c r="K8" s="15">
        <f ca="1">MDETERM(D7:H11)</f>
        <v>0</v>
      </c>
      <c r="L8" s="16"/>
      <c r="M8" s="17"/>
    </row>
    <row r="9" spans="2:15" ht="18.75" x14ac:dyDescent="0.25">
      <c r="C9" s="2">
        <v>3</v>
      </c>
      <c r="D9" s="1">
        <f t="shared" ca="1" si="1"/>
        <v>-3</v>
      </c>
      <c r="E9" s="1">
        <f t="shared" ca="1" si="0"/>
        <v>8</v>
      </c>
      <c r="F9" s="1">
        <f t="shared" ca="1" si="0"/>
        <v>8</v>
      </c>
      <c r="G9" s="1">
        <f t="shared" ca="1" si="0"/>
        <v>-6</v>
      </c>
      <c r="H9" s="1">
        <f t="shared" ca="1" si="0"/>
        <v>3</v>
      </c>
    </row>
    <row r="10" spans="2:15" ht="18.75" x14ac:dyDescent="0.25">
      <c r="C10" s="2">
        <v>4</v>
      </c>
      <c r="D10" s="1">
        <f t="shared" ca="1" si="1"/>
        <v>9</v>
      </c>
      <c r="E10" s="1">
        <f t="shared" ca="1" si="0"/>
        <v>7</v>
      </c>
      <c r="F10" s="1">
        <f t="shared" ca="1" si="0"/>
        <v>-2</v>
      </c>
      <c r="G10" s="1">
        <f t="shared" ca="1" si="0"/>
        <v>4</v>
      </c>
      <c r="H10" s="1">
        <f t="shared" ca="1" si="0"/>
        <v>5</v>
      </c>
    </row>
    <row r="11" spans="2:15" ht="18.75" x14ac:dyDescent="0.25">
      <c r="C11" s="2">
        <v>5</v>
      </c>
      <c r="D11" s="1">
        <f t="shared" ca="1" si="1"/>
        <v>0</v>
      </c>
      <c r="E11" s="1">
        <f t="shared" ca="1" si="0"/>
        <v>-5</v>
      </c>
      <c r="F11" s="1">
        <f t="shared" ca="1" si="0"/>
        <v>8</v>
      </c>
      <c r="G11" s="1">
        <f t="shared" ca="1" si="0"/>
        <v>-1</v>
      </c>
      <c r="H11" s="1">
        <f t="shared" ca="1" si="0"/>
        <v>1</v>
      </c>
    </row>
    <row r="15" spans="2:15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7" spans="2:13" x14ac:dyDescent="0.25">
      <c r="B17" s="18" t="s">
        <v>2</v>
      </c>
      <c r="C17" s="18"/>
      <c r="D17" s="18"/>
      <c r="E17" s="18"/>
      <c r="F17" s="18"/>
      <c r="G17" s="18"/>
      <c r="H17" s="18"/>
      <c r="I17" s="18"/>
    </row>
    <row r="18" spans="2:13" x14ac:dyDescent="0.25">
      <c r="B18" s="18"/>
      <c r="C18" s="18"/>
      <c r="D18" s="18"/>
      <c r="E18" s="18"/>
      <c r="F18" s="18"/>
      <c r="G18" s="18"/>
      <c r="H18" s="18"/>
      <c r="I18" s="18"/>
    </row>
    <row r="20" spans="2:13" ht="18.75" x14ac:dyDescent="0.25">
      <c r="C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K20" s="14" t="s">
        <v>1</v>
      </c>
      <c r="L20" s="14"/>
      <c r="M20" s="14"/>
    </row>
    <row r="21" spans="2:13" ht="19.5" thickBot="1" x14ac:dyDescent="0.3">
      <c r="C21" s="2">
        <v>1</v>
      </c>
      <c r="D21" s="1">
        <v>-4</v>
      </c>
      <c r="E21" s="1">
        <v>6</v>
      </c>
      <c r="F21" s="1">
        <v>7</v>
      </c>
      <c r="G21" s="1">
        <v>-4</v>
      </c>
      <c r="H21" s="1">
        <v>-4</v>
      </c>
    </row>
    <row r="22" spans="2:13" ht="19.5" thickBot="1" x14ac:dyDescent="0.3">
      <c r="C22" s="2">
        <v>2</v>
      </c>
      <c r="D22" s="1">
        <v>-2</v>
      </c>
      <c r="E22" s="1">
        <v>4</v>
      </c>
      <c r="F22" s="1">
        <v>3</v>
      </c>
      <c r="G22" s="1">
        <v>-2</v>
      </c>
      <c r="H22" s="1">
        <v>-2</v>
      </c>
      <c r="K22" s="15">
        <v>0</v>
      </c>
      <c r="L22" s="16"/>
      <c r="M22" s="17"/>
    </row>
    <row r="23" spans="2:13" ht="18.75" x14ac:dyDescent="0.25">
      <c r="C23" s="2">
        <v>3</v>
      </c>
      <c r="D23" s="1">
        <v>-1</v>
      </c>
      <c r="E23" s="1">
        <v>6</v>
      </c>
      <c r="F23" s="1">
        <v>2</v>
      </c>
      <c r="G23" s="1">
        <v>-6</v>
      </c>
      <c r="H23" s="1">
        <v>-1</v>
      </c>
    </row>
    <row r="24" spans="2:13" ht="18.75" x14ac:dyDescent="0.25">
      <c r="C24" s="2">
        <v>4</v>
      </c>
      <c r="D24" s="1">
        <v>3</v>
      </c>
      <c r="E24" s="1">
        <v>-4</v>
      </c>
      <c r="F24" s="1">
        <v>6</v>
      </c>
      <c r="G24" s="1">
        <v>4</v>
      </c>
      <c r="H24" s="1">
        <v>3</v>
      </c>
    </row>
    <row r="25" spans="2:13" ht="18.75" x14ac:dyDescent="0.25">
      <c r="C25" s="2">
        <v>5</v>
      </c>
      <c r="D25" s="1">
        <v>1</v>
      </c>
      <c r="E25" s="1">
        <v>7</v>
      </c>
      <c r="F25" s="1">
        <v>-2</v>
      </c>
      <c r="G25" s="1">
        <v>7</v>
      </c>
      <c r="H25" s="1">
        <v>1</v>
      </c>
    </row>
  </sheetData>
  <mergeCells count="6">
    <mergeCell ref="K20:M20"/>
    <mergeCell ref="K22:M22"/>
    <mergeCell ref="B3:I4"/>
    <mergeCell ref="K6:M6"/>
    <mergeCell ref="K8:M8"/>
    <mergeCell ref="B17:I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DetCero">
                <anchor moveWithCells="1" sizeWithCells="1">
                  <from>
                    <xdr:col>10</xdr:col>
                    <xdr:colOff>276225</xdr:colOff>
                    <xdr:row>9</xdr:row>
                    <xdr:rowOff>85725</xdr:rowOff>
                  </from>
                  <to>
                    <xdr:col>12</xdr:col>
                    <xdr:colOff>304800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C95F-F757-463E-9E4C-E2B5B0C9E885}">
  <sheetPr codeName="Sheet2"/>
  <dimension ref="B2:N36"/>
  <sheetViews>
    <sheetView zoomScale="85" zoomScaleNormal="85" workbookViewId="0">
      <selection activeCell="J39" sqref="J39"/>
    </sheetView>
  </sheetViews>
  <sheetFormatPr defaultRowHeight="15" x14ac:dyDescent="0.25"/>
  <cols>
    <col min="11" max="11" width="10.85546875" customWidth="1"/>
  </cols>
  <sheetData>
    <row r="2" spans="2:11" x14ac:dyDescent="0.25">
      <c r="B2" s="19" t="s">
        <v>3</v>
      </c>
      <c r="C2" s="19"/>
      <c r="D2" s="19"/>
      <c r="E2" s="19"/>
      <c r="F2" s="19"/>
    </row>
    <row r="3" spans="2:11" x14ac:dyDescent="0.25">
      <c r="B3" s="19"/>
      <c r="C3" s="19"/>
      <c r="D3" s="19"/>
      <c r="E3" s="19"/>
      <c r="F3" s="19"/>
    </row>
    <row r="6" spans="2:11" ht="18.75" x14ac:dyDescent="0.25">
      <c r="B6" s="4" t="s">
        <v>4</v>
      </c>
      <c r="C6" s="2"/>
      <c r="D6" s="2">
        <v>1</v>
      </c>
      <c r="E6" s="2">
        <v>2</v>
      </c>
      <c r="F6" s="2">
        <v>3</v>
      </c>
      <c r="G6" s="2">
        <v>4</v>
      </c>
      <c r="H6" s="2">
        <v>5</v>
      </c>
    </row>
    <row r="7" spans="2:11" ht="19.5" thickBot="1" x14ac:dyDescent="0.3">
      <c r="C7" s="2">
        <v>1</v>
      </c>
      <c r="D7" s="1">
        <f ca="1">RANDBETWEEN(1,9)*IF(RAND()&lt;0.5,1,-1)</f>
        <v>-2</v>
      </c>
      <c r="E7" s="1">
        <f t="shared" ref="E7:H11" ca="1" si="0">RANDBETWEEN(1,9)*IF(RAND()&lt;0.5,1,-1)</f>
        <v>2</v>
      </c>
      <c r="F7" s="1">
        <f t="shared" ca="1" si="0"/>
        <v>7</v>
      </c>
      <c r="G7" s="1">
        <f t="shared" ca="1" si="0"/>
        <v>-4</v>
      </c>
      <c r="H7" s="1">
        <f t="shared" ca="1" si="0"/>
        <v>-2</v>
      </c>
      <c r="J7" s="20" t="s">
        <v>1</v>
      </c>
      <c r="K7" s="20"/>
    </row>
    <row r="8" spans="2:11" ht="19.5" thickBot="1" x14ac:dyDescent="0.35">
      <c r="C8" s="2">
        <v>2</v>
      </c>
      <c r="D8" s="1">
        <f t="shared" ref="D8:D11" ca="1" si="1">RANDBETWEEN(1,9)*IF(RAND()&lt;0.5,1,-1)</f>
        <v>-7</v>
      </c>
      <c r="E8" s="1">
        <f t="shared" ca="1" si="0"/>
        <v>-9</v>
      </c>
      <c r="F8" s="1">
        <f t="shared" ca="1" si="0"/>
        <v>-8</v>
      </c>
      <c r="G8" s="1">
        <f t="shared" ca="1" si="0"/>
        <v>5</v>
      </c>
      <c r="H8" s="1">
        <f t="shared" ca="1" si="0"/>
        <v>9</v>
      </c>
      <c r="J8" s="21">
        <f ca="1">MDETERM(D7:H11)</f>
        <v>-75496</v>
      </c>
      <c r="K8" s="22"/>
    </row>
    <row r="9" spans="2:11" ht="18.75" x14ac:dyDescent="0.25">
      <c r="C9" s="2">
        <v>3</v>
      </c>
      <c r="D9" s="1">
        <f t="shared" ca="1" si="1"/>
        <v>-1</v>
      </c>
      <c r="E9" s="1">
        <f t="shared" ca="1" si="0"/>
        <v>1</v>
      </c>
      <c r="F9" s="1">
        <f t="shared" ca="1" si="0"/>
        <v>-9</v>
      </c>
      <c r="G9" s="1">
        <f t="shared" ca="1" si="0"/>
        <v>1</v>
      </c>
      <c r="H9" s="1">
        <f t="shared" ca="1" si="0"/>
        <v>1</v>
      </c>
    </row>
    <row r="10" spans="2:11" ht="18.75" x14ac:dyDescent="0.25">
      <c r="C10" s="2">
        <v>4</v>
      </c>
      <c r="D10" s="1">
        <f t="shared" ca="1" si="1"/>
        <v>-9</v>
      </c>
      <c r="E10" s="1">
        <f t="shared" ca="1" si="0"/>
        <v>7</v>
      </c>
      <c r="F10" s="1">
        <f t="shared" ca="1" si="0"/>
        <v>3</v>
      </c>
      <c r="G10" s="1">
        <f t="shared" ca="1" si="0"/>
        <v>5</v>
      </c>
      <c r="H10" s="1">
        <f t="shared" ca="1" si="0"/>
        <v>-8</v>
      </c>
    </row>
    <row r="11" spans="2:11" ht="18.75" x14ac:dyDescent="0.25">
      <c r="C11" s="2">
        <v>5</v>
      </c>
      <c r="D11" s="1">
        <f t="shared" ca="1" si="1"/>
        <v>-1</v>
      </c>
      <c r="E11" s="1">
        <f t="shared" ca="1" si="0"/>
        <v>4</v>
      </c>
      <c r="F11" s="1">
        <f t="shared" ca="1" si="0"/>
        <v>1</v>
      </c>
      <c r="G11" s="1">
        <f t="shared" ca="1" si="0"/>
        <v>3</v>
      </c>
      <c r="H11" s="1">
        <f t="shared" ca="1" si="0"/>
        <v>8</v>
      </c>
    </row>
    <row r="14" spans="2:11" ht="18.75" x14ac:dyDescent="0.25">
      <c r="B14" s="4" t="s">
        <v>7</v>
      </c>
      <c r="C14" s="2"/>
      <c r="D14" s="2">
        <v>1</v>
      </c>
      <c r="E14" s="2">
        <v>2</v>
      </c>
      <c r="F14" s="2">
        <v>3</v>
      </c>
      <c r="G14" s="2">
        <v>4</v>
      </c>
      <c r="H14" s="2">
        <v>5</v>
      </c>
    </row>
    <row r="15" spans="2:11" ht="18.75" x14ac:dyDescent="0.25">
      <c r="C15" s="2">
        <v>1</v>
      </c>
      <c r="D15" s="1" cm="1">
        <f t="array" aca="1" ref="D15:H19" ca="1">TRANSPOSE(D7:H11)</f>
        <v>-2</v>
      </c>
      <c r="E15" s="1">
        <f ca="1"/>
        <v>-7</v>
      </c>
      <c r="F15" s="1">
        <f ca="1"/>
        <v>-1</v>
      </c>
      <c r="G15" s="1">
        <f ca="1"/>
        <v>-9</v>
      </c>
      <c r="H15" s="1">
        <f ca="1"/>
        <v>-1</v>
      </c>
    </row>
    <row r="16" spans="2:11" ht="18.75" x14ac:dyDescent="0.25">
      <c r="C16" s="2">
        <v>2</v>
      </c>
      <c r="D16" s="1">
        <f ca="1"/>
        <v>2</v>
      </c>
      <c r="E16" s="1">
        <f ca="1"/>
        <v>-9</v>
      </c>
      <c r="F16" s="1">
        <f ca="1"/>
        <v>1</v>
      </c>
      <c r="G16" s="1">
        <f ca="1"/>
        <v>7</v>
      </c>
      <c r="H16" s="1">
        <f ca="1"/>
        <v>4</v>
      </c>
    </row>
    <row r="17" spans="2:8" ht="18.75" x14ac:dyDescent="0.25">
      <c r="C17" s="2">
        <v>3</v>
      </c>
      <c r="D17" s="1">
        <f ca="1"/>
        <v>7</v>
      </c>
      <c r="E17" s="1">
        <f ca="1"/>
        <v>-8</v>
      </c>
      <c r="F17" s="1">
        <f ca="1"/>
        <v>-9</v>
      </c>
      <c r="G17" s="1">
        <f ca="1"/>
        <v>3</v>
      </c>
      <c r="H17" s="1">
        <f ca="1"/>
        <v>1</v>
      </c>
    </row>
    <row r="18" spans="2:8" ht="18.75" x14ac:dyDescent="0.25">
      <c r="C18" s="2">
        <v>4</v>
      </c>
      <c r="D18" s="1">
        <f ca="1"/>
        <v>-4</v>
      </c>
      <c r="E18" s="1">
        <f ca="1"/>
        <v>5</v>
      </c>
      <c r="F18" s="1">
        <f ca="1"/>
        <v>1</v>
      </c>
      <c r="G18" s="1">
        <f ca="1"/>
        <v>5</v>
      </c>
      <c r="H18" s="1">
        <f ca="1"/>
        <v>3</v>
      </c>
    </row>
    <row r="19" spans="2:8" ht="18.75" x14ac:dyDescent="0.25">
      <c r="C19" s="2">
        <v>5</v>
      </c>
      <c r="D19" s="1">
        <f ca="1"/>
        <v>-2</v>
      </c>
      <c r="E19" s="1">
        <f ca="1"/>
        <v>9</v>
      </c>
      <c r="F19" s="1">
        <f ca="1"/>
        <v>1</v>
      </c>
      <c r="G19" s="1">
        <f ca="1"/>
        <v>-8</v>
      </c>
      <c r="H19" s="1">
        <f ca="1"/>
        <v>8</v>
      </c>
    </row>
    <row r="23" spans="2:8" ht="18.75" x14ac:dyDescent="0.25">
      <c r="B23" s="4" t="s">
        <v>5</v>
      </c>
      <c r="C23" s="2"/>
      <c r="D23" s="2">
        <v>1</v>
      </c>
      <c r="E23" s="2">
        <v>2</v>
      </c>
      <c r="F23" s="2">
        <v>3</v>
      </c>
      <c r="G23" s="2">
        <v>4</v>
      </c>
      <c r="H23" s="2">
        <v>5</v>
      </c>
    </row>
    <row r="24" spans="2:8" ht="18.75" x14ac:dyDescent="0.25">
      <c r="C24" s="2">
        <v>1</v>
      </c>
      <c r="D24" s="1" cm="1">
        <f t="array" aca="1" ref="D24:H28" ca="1">MINVERSE(D7:H11)</f>
        <v>-0.12285419095051393</v>
      </c>
      <c r="E24" s="1">
        <f ca="1"/>
        <v>-5.704938009960793E-2</v>
      </c>
      <c r="F24" s="1">
        <f ca="1"/>
        <v>-5.5459891914803439E-2</v>
      </c>
      <c r="G24" s="1">
        <f ca="1"/>
        <v>-3.3988555685069394E-2</v>
      </c>
      <c r="H24" s="1">
        <f ca="1"/>
        <v>6.4109356787114512E-3</v>
      </c>
    </row>
    <row r="25" spans="2:8" ht="18.75" x14ac:dyDescent="0.25">
      <c r="C25" s="2">
        <v>2</v>
      </c>
      <c r="D25" s="1">
        <f ca="1"/>
        <v>2.996185228356469E-2</v>
      </c>
      <c r="E25" s="1">
        <f ca="1"/>
        <v>-5.1208011020451416E-2</v>
      </c>
      <c r="F25" s="1">
        <f ca="1"/>
        <v>8.2097064745152062E-2</v>
      </c>
      <c r="G25" s="1">
        <f ca="1"/>
        <v>1.6159796545512341E-2</v>
      </c>
      <c r="H25" s="1">
        <f ca="1"/>
        <v>7.0997138921267341E-2</v>
      </c>
    </row>
    <row r="26" spans="2:8" ht="18.75" x14ac:dyDescent="0.25">
      <c r="C26" s="2">
        <v>3</v>
      </c>
      <c r="D26" s="1">
        <f ca="1"/>
        <v>7.9474409240225087E-5</v>
      </c>
      <c r="E26" s="1">
        <f ca="1"/>
        <v>2.5166896259404465E-3</v>
      </c>
      <c r="F26" s="1">
        <f ca="1"/>
        <v>-0.10853555155240012</v>
      </c>
      <c r="G26" s="1">
        <f ca="1"/>
        <v>8.0004238635159475E-3</v>
      </c>
      <c r="H26" s="1">
        <f ca="1"/>
        <v>1.8755960580693017E-2</v>
      </c>
    </row>
    <row r="27" spans="2:8" ht="18.75" x14ac:dyDescent="0.25">
      <c r="C27" s="2">
        <v>4</v>
      </c>
      <c r="D27" s="1">
        <f ca="1"/>
        <v>-0.19480502278266398</v>
      </c>
      <c r="E27" s="1">
        <f ca="1"/>
        <v>-2.1590547843594395E-3</v>
      </c>
      <c r="F27" s="1">
        <f ca="1"/>
        <v>-0.12794055314188832</v>
      </c>
      <c r="G27" s="1">
        <f ca="1"/>
        <v>5.6294373211825788E-2</v>
      </c>
      <c r="H27" s="1">
        <f ca="1"/>
        <v>2.60146232913002E-2</v>
      </c>
    </row>
    <row r="28" spans="2:8" ht="18.75" x14ac:dyDescent="0.25">
      <c r="C28" s="2">
        <v>5</v>
      </c>
      <c r="D28" s="1">
        <f ca="1"/>
        <v>4.2704249231747378E-2</v>
      </c>
      <c r="E28" s="1">
        <f ca="1"/>
        <v>1.8967892338666949E-2</v>
      </c>
      <c r="F28" s="1">
        <f ca="1"/>
        <v>1.3563632510331674E-2</v>
      </c>
      <c r="G28" s="1">
        <f ca="1"/>
        <v>-3.4438910670764017E-2</v>
      </c>
      <c r="H28" s="1">
        <f ca="1"/>
        <v>7.8202818692381049E-2</v>
      </c>
    </row>
    <row r="30" spans="2:8" ht="15" customHeight="1" x14ac:dyDescent="0.25"/>
    <row r="31" spans="2:8" ht="18.75" x14ac:dyDescent="0.25">
      <c r="B31" s="4" t="s">
        <v>6</v>
      </c>
      <c r="C31" s="2"/>
      <c r="D31" s="2">
        <v>1</v>
      </c>
      <c r="E31" s="2">
        <v>2</v>
      </c>
      <c r="F31" s="2">
        <v>3</v>
      </c>
      <c r="G31" s="2">
        <v>4</v>
      </c>
      <c r="H31" s="2">
        <v>5</v>
      </c>
    </row>
    <row r="32" spans="2:8" ht="18.75" x14ac:dyDescent="0.25">
      <c r="C32" s="2">
        <v>1</v>
      </c>
      <c r="D32" s="1" cm="1">
        <f t="array" aca="1" ref="D32:H36" ca="1">MMULT(D7:H11,_xlfn.ANCHORARRAY(D24))</f>
        <v>1</v>
      </c>
      <c r="E32" s="27">
        <f ca="1"/>
        <v>1.3877787807814457E-17</v>
      </c>
      <c r="F32" s="27">
        <f ca="1"/>
        <v>7.9797279894933126E-17</v>
      </c>
      <c r="G32" s="27">
        <f ca="1"/>
        <v>0</v>
      </c>
      <c r="H32" s="27">
        <f ca="1"/>
        <v>-2.7755575615628914E-17</v>
      </c>
    </row>
    <row r="33" spans="3:14" ht="18.75" x14ac:dyDescent="0.25">
      <c r="C33" s="2">
        <v>2</v>
      </c>
      <c r="D33" s="1">
        <f ca="1"/>
        <v>0</v>
      </c>
      <c r="E33" s="27">
        <f ca="1"/>
        <v>1</v>
      </c>
      <c r="F33" s="27">
        <f ca="1"/>
        <v>-8.3266726846886741E-17</v>
      </c>
      <c r="G33" s="27">
        <f ca="1"/>
        <v>-5.5511151231257827E-17</v>
      </c>
      <c r="H33" s="27">
        <f ca="1"/>
        <v>2.2204460492503131E-16</v>
      </c>
    </row>
    <row r="34" spans="3:14" ht="18.75" x14ac:dyDescent="0.25">
      <c r="C34" s="2">
        <v>3</v>
      </c>
      <c r="D34" s="1">
        <f ca="1"/>
        <v>6.9388939039072284E-18</v>
      </c>
      <c r="E34" s="27">
        <f ca="1"/>
        <v>3.4694469519536142E-18</v>
      </c>
      <c r="F34" s="27">
        <f ca="1"/>
        <v>0.99999999999999989</v>
      </c>
      <c r="G34" s="27">
        <f ca="1"/>
        <v>-2.0816681711721685E-17</v>
      </c>
      <c r="H34" s="27">
        <f ca="1"/>
        <v>0</v>
      </c>
    </row>
    <row r="35" spans="3:14" ht="18.75" customHeight="1" x14ac:dyDescent="0.25">
      <c r="C35" s="2">
        <v>4</v>
      </c>
      <c r="D35" s="27">
        <f ca="1"/>
        <v>5.5511151231257827E-17</v>
      </c>
      <c r="E35" s="27">
        <f ca="1"/>
        <v>0</v>
      </c>
      <c r="F35" s="27">
        <f ca="1"/>
        <v>9.7144514654701197E-17</v>
      </c>
      <c r="G35" s="27">
        <f ca="1"/>
        <v>0.99999999999999989</v>
      </c>
      <c r="H35" s="27">
        <f ca="1"/>
        <v>0</v>
      </c>
      <c r="J35" s="28" t="s">
        <v>8</v>
      </c>
      <c r="K35" s="28"/>
      <c r="L35" s="28"/>
      <c r="M35" s="28"/>
      <c r="N35" s="5"/>
    </row>
    <row r="36" spans="3:14" ht="18.75" x14ac:dyDescent="0.25">
      <c r="C36" s="2">
        <v>5</v>
      </c>
      <c r="D36" s="1">
        <f ca="1"/>
        <v>0</v>
      </c>
      <c r="E36" s="27">
        <f ca="1"/>
        <v>-2.7755575615628914E-17</v>
      </c>
      <c r="F36" s="27">
        <f ca="1"/>
        <v>1.3877787807814457E-17</v>
      </c>
      <c r="G36" s="27">
        <f ca="1"/>
        <v>-5.5511151231257827E-17</v>
      </c>
      <c r="H36" s="27">
        <f ca="1"/>
        <v>1</v>
      </c>
      <c r="J36" s="28"/>
      <c r="K36" s="28"/>
      <c r="L36" s="28"/>
      <c r="M36" s="28"/>
      <c r="N36" s="5"/>
    </row>
  </sheetData>
  <mergeCells count="4">
    <mergeCell ref="J35:M36"/>
    <mergeCell ref="B2:F3"/>
    <mergeCell ref="J7:K7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jemplificarMatrizInversa">
                <anchor moveWithCells="1" sizeWithCells="1">
                  <from>
                    <xdr:col>8</xdr:col>
                    <xdr:colOff>600075</xdr:colOff>
                    <xdr:row>31</xdr:row>
                    <xdr:rowOff>19050</xdr:rowOff>
                  </from>
                  <to>
                    <xdr:col>13</xdr:col>
                    <xdr:colOff>9525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254C1-4466-4EAF-971D-676D1EFF41B4}">
  <dimension ref="B2:L26"/>
  <sheetViews>
    <sheetView zoomScale="85" zoomScaleNormal="85" workbookViewId="0">
      <selection activeCell="Z24" sqref="Z24"/>
    </sheetView>
  </sheetViews>
  <sheetFormatPr defaultRowHeight="15" x14ac:dyDescent="0.25"/>
  <cols>
    <col min="4" max="8" width="5.7109375" customWidth="1"/>
    <col min="9" max="9" width="8.7109375" customWidth="1"/>
    <col min="10" max="10" width="3.140625" customWidth="1"/>
    <col min="11" max="12" width="5.5703125" customWidth="1"/>
  </cols>
  <sheetData>
    <row r="2" spans="2:9" ht="15" customHeight="1" x14ac:dyDescent="0.25">
      <c r="C2" s="19" t="s">
        <v>9</v>
      </c>
      <c r="D2" s="19"/>
      <c r="E2" s="19"/>
      <c r="F2" s="19"/>
      <c r="G2" s="19"/>
      <c r="H2" s="19"/>
      <c r="I2" s="19"/>
    </row>
    <row r="3" spans="2:9" ht="15" customHeight="1" x14ac:dyDescent="0.25">
      <c r="C3" s="19"/>
      <c r="D3" s="19"/>
      <c r="E3" s="19"/>
      <c r="F3" s="19"/>
      <c r="G3" s="19"/>
      <c r="H3" s="19"/>
      <c r="I3" s="19"/>
    </row>
    <row r="5" spans="2:9" ht="18.75" x14ac:dyDescent="0.3">
      <c r="B5" s="23" t="s">
        <v>23</v>
      </c>
      <c r="C5" s="24"/>
      <c r="D5" s="6" t="s">
        <v>11</v>
      </c>
      <c r="E5" s="6" t="s">
        <v>12</v>
      </c>
      <c r="F5" s="6" t="s">
        <v>13</v>
      </c>
      <c r="G5" s="6" t="s">
        <v>14</v>
      </c>
      <c r="H5" s="6" t="s">
        <v>15</v>
      </c>
      <c r="I5" s="6" t="s">
        <v>16</v>
      </c>
    </row>
    <row r="6" spans="2:9" ht="18.75" x14ac:dyDescent="0.3">
      <c r="B6" s="11"/>
      <c r="C6" s="11"/>
      <c r="D6" s="7">
        <v>1</v>
      </c>
      <c r="E6" s="7">
        <v>2</v>
      </c>
      <c r="F6" s="7">
        <v>-1</v>
      </c>
      <c r="G6" s="7">
        <v>1</v>
      </c>
      <c r="H6" s="7">
        <v>-3</v>
      </c>
      <c r="I6" s="7">
        <v>6</v>
      </c>
    </row>
    <row r="7" spans="2:9" ht="18.75" x14ac:dyDescent="0.3">
      <c r="B7" s="11"/>
      <c r="C7" s="11"/>
      <c r="D7" s="7">
        <v>1</v>
      </c>
      <c r="E7" s="7">
        <v>5</v>
      </c>
      <c r="F7" s="7">
        <v>3</v>
      </c>
      <c r="G7" s="7">
        <v>4</v>
      </c>
      <c r="H7" s="7">
        <v>2</v>
      </c>
      <c r="I7" s="8">
        <f>SUMPRODUCT(D6:H6,D7:H7)</f>
        <v>6</v>
      </c>
    </row>
    <row r="8" spans="2:9" ht="18.75" x14ac:dyDescent="0.3">
      <c r="B8" s="11"/>
      <c r="C8" s="11"/>
      <c r="D8" s="10"/>
      <c r="E8" s="10"/>
      <c r="F8" s="10"/>
      <c r="G8" s="10"/>
      <c r="H8" s="10"/>
      <c r="I8" s="10"/>
    </row>
    <row r="9" spans="2:9" ht="18.75" x14ac:dyDescent="0.3">
      <c r="B9" s="11"/>
      <c r="C9" s="11"/>
      <c r="D9" s="10"/>
      <c r="E9" s="10"/>
      <c r="F9" s="10"/>
      <c r="G9" s="10"/>
      <c r="H9" s="10"/>
      <c r="I9" s="10"/>
    </row>
    <row r="10" spans="2:9" ht="18.75" x14ac:dyDescent="0.3">
      <c r="B10" s="23" t="s">
        <v>22</v>
      </c>
      <c r="C10" s="23"/>
      <c r="D10" s="9">
        <f ca="1">RANDBETWEEN(-3,3)+RANDBETWEEN(-3,3)+RANDBETWEEN(-3,3)</f>
        <v>-5</v>
      </c>
      <c r="E10" s="9">
        <f t="shared" ref="E10:H10" ca="1" si="0">RANDBETWEEN(-3,3)+RANDBETWEEN(-3,3)+RANDBETWEEN(-3,3)</f>
        <v>-1</v>
      </c>
      <c r="F10" s="9">
        <f t="shared" ca="1" si="0"/>
        <v>5</v>
      </c>
      <c r="G10" s="9">
        <f t="shared" ca="1" si="0"/>
        <v>-5</v>
      </c>
      <c r="H10" s="9">
        <f t="shared" ca="1" si="0"/>
        <v>3</v>
      </c>
      <c r="I10" s="8">
        <f ca="1">SUMPRODUCT(D7:H7,D10:H10)</f>
        <v>-9</v>
      </c>
    </row>
    <row r="11" spans="2:9" ht="18.75" x14ac:dyDescent="0.3">
      <c r="B11" s="11"/>
      <c r="C11" s="11"/>
    </row>
    <row r="12" spans="2:9" ht="18.75" x14ac:dyDescent="0.3">
      <c r="B12" s="11"/>
      <c r="C12" s="11"/>
    </row>
    <row r="13" spans="2:9" ht="18.75" x14ac:dyDescent="0.3">
      <c r="B13" s="23" t="s">
        <v>17</v>
      </c>
      <c r="C13" s="24"/>
      <c r="D13" s="6" t="s">
        <v>11</v>
      </c>
      <c r="E13" s="6" t="s">
        <v>12</v>
      </c>
      <c r="F13" s="6" t="s">
        <v>13</v>
      </c>
      <c r="G13" s="6" t="s">
        <v>14</v>
      </c>
      <c r="H13" s="6" t="s">
        <v>15</v>
      </c>
      <c r="I13" s="6" t="s">
        <v>16</v>
      </c>
    </row>
    <row r="14" spans="2:9" x14ac:dyDescent="0.25">
      <c r="C14" t="s">
        <v>10</v>
      </c>
      <c r="D14" s="9">
        <v>1</v>
      </c>
      <c r="E14" s="9">
        <v>2</v>
      </c>
      <c r="F14" s="9">
        <v>-1</v>
      </c>
      <c r="G14" s="9">
        <v>1</v>
      </c>
      <c r="H14" s="9">
        <v>-3</v>
      </c>
      <c r="I14" s="8">
        <v>6</v>
      </c>
    </row>
    <row r="15" spans="2:9" x14ac:dyDescent="0.25">
      <c r="C15" t="s">
        <v>18</v>
      </c>
      <c r="D15" s="9">
        <v>-3</v>
      </c>
      <c r="E15" s="9">
        <v>-4</v>
      </c>
      <c r="F15" s="9">
        <v>1</v>
      </c>
      <c r="G15" s="9">
        <v>5</v>
      </c>
      <c r="H15" s="9">
        <v>4</v>
      </c>
      <c r="I15" s="8">
        <v>8</v>
      </c>
    </row>
    <row r="16" spans="2:9" x14ac:dyDescent="0.25">
      <c r="C16" t="s">
        <v>19</v>
      </c>
      <c r="D16" s="9">
        <v>-2</v>
      </c>
      <c r="E16" s="9">
        <v>3</v>
      </c>
      <c r="F16" s="9">
        <v>0</v>
      </c>
      <c r="G16" s="9">
        <v>-2</v>
      </c>
      <c r="H16" s="9">
        <v>-3</v>
      </c>
      <c r="I16" s="8">
        <v>-1</v>
      </c>
    </row>
    <row r="17" spans="2:12" x14ac:dyDescent="0.25">
      <c r="C17" t="s">
        <v>20</v>
      </c>
      <c r="D17" s="9">
        <v>3</v>
      </c>
      <c r="E17" s="9">
        <v>-4</v>
      </c>
      <c r="F17" s="9">
        <v>-4</v>
      </c>
      <c r="G17" s="9">
        <v>5</v>
      </c>
      <c r="H17" s="9">
        <v>5</v>
      </c>
      <c r="I17" s="8">
        <v>1</v>
      </c>
    </row>
    <row r="18" spans="2:12" x14ac:dyDescent="0.25">
      <c r="C18" t="s">
        <v>21</v>
      </c>
      <c r="D18" s="9">
        <v>-3</v>
      </c>
      <c r="E18" s="9">
        <v>-1</v>
      </c>
      <c r="F18" s="9">
        <v>1</v>
      </c>
      <c r="G18" s="9">
        <v>-1</v>
      </c>
      <c r="H18" s="9">
        <v>7</v>
      </c>
      <c r="I18" s="8">
        <v>5</v>
      </c>
    </row>
    <row r="21" spans="2:12" ht="21" customHeight="1" x14ac:dyDescent="0.25">
      <c r="B21" s="25" t="s">
        <v>24</v>
      </c>
      <c r="C21" s="25"/>
      <c r="I21" s="10"/>
      <c r="J21" s="26" t="s">
        <v>25</v>
      </c>
      <c r="K21" s="26"/>
      <c r="L21" s="26"/>
    </row>
    <row r="22" spans="2:12" ht="18" x14ac:dyDescent="0.25">
      <c r="B22" s="25"/>
      <c r="C22" s="25"/>
      <c r="D22" s="13" cm="1">
        <f t="array" ref="D22:H26">MINVERSE(D14:H18)</f>
        <v>0.22981366459627314</v>
      </c>
      <c r="E22" s="12">
        <v>-0.11904761904761907</v>
      </c>
      <c r="F22" s="12">
        <v>-0.39440993788819867</v>
      </c>
      <c r="G22" s="12">
        <v>-7.4534161490683232E-2</v>
      </c>
      <c r="H22" s="12">
        <v>5.0724637681159389E-2</v>
      </c>
      <c r="I22" s="10"/>
      <c r="K22" s="6" t="s">
        <v>11</v>
      </c>
      <c r="L22" s="7" cm="1">
        <f t="array" ref="L22:L26">MMULT(_xlfn.ANCHORARRAY(D22),I14:I18)</f>
        <v>0.99999999999999867</v>
      </c>
    </row>
    <row r="23" spans="2:12" ht="18" x14ac:dyDescent="0.25">
      <c r="D23" s="12">
        <v>0.63975155279503082</v>
      </c>
      <c r="E23" s="13">
        <v>-4.7619047619047616E-2</v>
      </c>
      <c r="F23" s="12">
        <v>-0.19254658385093174</v>
      </c>
      <c r="G23" s="12">
        <v>-9.9378881987577619E-2</v>
      </c>
      <c r="H23" s="12">
        <v>0.28985507246376807</v>
      </c>
      <c r="I23" s="10"/>
      <c r="K23" s="6" t="s">
        <v>12</v>
      </c>
      <c r="L23" s="7">
        <v>4.9999999999999982</v>
      </c>
    </row>
    <row r="24" spans="2:12" ht="18" x14ac:dyDescent="0.25">
      <c r="D24" s="12">
        <v>0.31677018633540349</v>
      </c>
      <c r="E24" s="12">
        <v>4.7619047619047589E-2</v>
      </c>
      <c r="F24" s="13">
        <v>-0.50310559006211175</v>
      </c>
      <c r="G24" s="12">
        <v>-0.29192546583850931</v>
      </c>
      <c r="H24" s="12">
        <v>0.10144927536231878</v>
      </c>
      <c r="I24" s="10"/>
      <c r="K24" s="6" t="s">
        <v>13</v>
      </c>
      <c r="L24" s="7">
        <v>2.9999999999999982</v>
      </c>
    </row>
    <row r="25" spans="2:12" ht="18" x14ac:dyDescent="0.25">
      <c r="D25" s="12">
        <v>0.42236024844720482</v>
      </c>
      <c r="E25" s="12">
        <v>0.11904761904761904</v>
      </c>
      <c r="F25" s="12">
        <v>-0.17080745341614909</v>
      </c>
      <c r="G25" s="13">
        <v>-5.5900621118012417E-2</v>
      </c>
      <c r="H25" s="12">
        <v>7.9710144927536197E-2</v>
      </c>
      <c r="I25" s="10"/>
      <c r="K25" s="6" t="s">
        <v>14</v>
      </c>
      <c r="L25" s="7">
        <v>3.9999999999999987</v>
      </c>
    </row>
    <row r="26" spans="2:12" ht="18" x14ac:dyDescent="0.25">
      <c r="D26" s="12">
        <v>0.2049689440993788</v>
      </c>
      <c r="E26" s="12">
        <v>-4.7619047619047623E-2</v>
      </c>
      <c r="F26" s="12">
        <v>-0.14906832298136646</v>
      </c>
      <c r="G26" s="12">
        <v>-1.2422360248447192E-2</v>
      </c>
      <c r="H26" s="13">
        <v>0.20289855072463767</v>
      </c>
      <c r="K26" s="6" t="s">
        <v>15</v>
      </c>
      <c r="L26" s="7">
        <v>1.9999999999999993</v>
      </c>
    </row>
  </sheetData>
  <mergeCells count="6">
    <mergeCell ref="J21:L21"/>
    <mergeCell ref="C2:I3"/>
    <mergeCell ref="B10:C10"/>
    <mergeCell ref="B5:C5"/>
    <mergeCell ref="B13:C13"/>
    <mergeCell ref="B21:C22"/>
  </mergeCells>
  <phoneticPr fontId="1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Práctica 3.1</vt:lpstr>
      <vt:lpstr>Práctica 3.2</vt:lpstr>
      <vt:lpstr>Práctica 3.3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González Troyano</dc:creator>
  <cp:lastModifiedBy>Pablo</cp:lastModifiedBy>
  <dcterms:created xsi:type="dcterms:W3CDTF">2022-12-02T19:04:01Z</dcterms:created>
  <dcterms:modified xsi:type="dcterms:W3CDTF">2022-12-27T20:18:05Z</dcterms:modified>
</cp:coreProperties>
</file>